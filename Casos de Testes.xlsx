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ri\Desktop\Desafio Spread - Projeto Caixa\"/>
    </mc:Choice>
  </mc:AlternateContent>
  <bookViews>
    <workbookView xWindow="0" yWindow="0" windowWidth="28800" windowHeight="12504"/>
  </bookViews>
  <sheets>
    <sheet name="Status Report" sheetId="2" r:id="rId1"/>
    <sheet name="Burndown" sheetId="3" state="hidden" r:id="rId2"/>
    <sheet name="Test - API ViaCEP" sheetId="1" r:id="rId3"/>
  </sheets>
  <externalReferences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2" l="1"/>
  <c r="B42" i="2"/>
  <c r="C40" i="2"/>
  <c r="C39" i="2"/>
  <c r="C38" i="2"/>
  <c r="C37" i="2"/>
  <c r="C31" i="2"/>
  <c r="C32" i="2"/>
  <c r="C29" i="2"/>
  <c r="B33" i="2"/>
  <c r="C30" i="2" s="1"/>
  <c r="G7" i="3"/>
  <c r="C7" i="3"/>
  <c r="C6" i="3"/>
  <c r="B7" i="3"/>
  <c r="A7" i="3"/>
  <c r="D2" i="3"/>
  <c r="C2" i="3" s="1"/>
  <c r="A6" i="3"/>
  <c r="B6" i="3" s="1"/>
  <c r="F7" i="2"/>
  <c r="G7" i="2"/>
  <c r="H7" i="2" s="1"/>
  <c r="D5" i="3" l="1"/>
  <c r="H5" i="3"/>
  <c r="H6" i="3" s="1"/>
  <c r="H7" i="3" l="1"/>
  <c r="D6" i="3"/>
  <c r="E5" i="3"/>
  <c r="E6" i="3" l="1"/>
  <c r="D7" i="3"/>
  <c r="E7" i="3" s="1"/>
</calcChain>
</file>

<file path=xl/sharedStrings.xml><?xml version="1.0" encoding="utf-8"?>
<sst xmlns="http://schemas.openxmlformats.org/spreadsheetml/2006/main" count="128" uniqueCount="94">
  <si>
    <t>Feature</t>
  </si>
  <si>
    <t>Consulta de CEP na API ViaCEP</t>
  </si>
  <si>
    <t>Scenario</t>
  </si>
  <si>
    <t>Consulta de CEP válido</t>
  </si>
  <si>
    <t>Given que eu tenho um CEP válido "01001000"
When eu envio uma requisição GET para "https://viacep.com.br/ws/01001000/json"
Then a resposta deve ter status code 200
And o campo "cep" deve ser "01001-000"
And o campo "logradouro" deve ser "Praça da Sé"
And o campo "complemento" deve ser "lado ímpar"
And o campo "unidade" deve ser ""
And o campo "bairro" deve ser "Sé"
And o campo "localidade" deve ser "São Paulo"
And o campo "uf" deve ser "SP"
And o campo "estado" deve ser "São Paulo"
And o campo "regiao" deve ser "Sudeste"
And o campo "ibge" deve ser "3550308"
And o campo "gia" deve ser "1004"
And o campo "ddd" deve ser "11"
And o campo "siafi" deve ser "7107"</t>
  </si>
  <si>
    <t>Como usuário da API ViaCEP
Quero consultar um CEP válido
Para receber os dados completos de endereço</t>
  </si>
  <si>
    <t>Description</t>
  </si>
  <si>
    <t>Consulta de CEP válido com hífen</t>
  </si>
  <si>
    <t>Given que eu tenho um CEP válido "01001-000"
When eu envio uma requisição GET para "https://viacep.com.br/ws/01001-000/json"
Then a resposta deve ter status code 200
And o campo "cep" deve ser "01001-000"
And o campo "logradouro" deve ser "Praça da Sé"
And o campo "complemento" deve ser "lado ímpar"
And o campo "unidade" deve ser ""
And o campo "bairro" deve ser "Sé"
And o campo "localidade" deve ser "São Paulo"
And o campo "uf" deve ser "SP"
And o campo "estado" deve ser "São Paulo"
And o campo "regiao" deve ser "Sudeste"
And o campo "ibge" deve ser "3550308"
And o campo "gia" deve ser "1004"
And o campo "ddd" deve ser "11"
And o campo "siafi" deve ser "7107"</t>
  </si>
  <si>
    <t>Consulta de CEP inexistente</t>
  </si>
  <si>
    <t>Como usuário da API ViaCEP
Quero consultar um CEP em formato inválido (9 dígitos)
Para receber uma resposta de erro de requisição</t>
  </si>
  <si>
    <t>Como usuário da API ViaCEP
Quero consultar um CEP válido mas inexistente
Para receber uma resposta indicando erro</t>
  </si>
  <si>
    <t>Como usuário da API ViaCEP
Quero consultar um CEP válido com hífen
Para receber os dados completos de endereço</t>
  </si>
  <si>
    <t>Consulta de CEP com formato inválido de 9 dígitos</t>
  </si>
  <si>
    <t>Given que eu tenho um CEP inválido "950100100"
When eu envio uma requisição GET para "https://viacep.com.br/ws/950100100/json"
Then a resposta deve ter status code 400
And a mensagem de erro deve indicar "Bad Request"</t>
  </si>
  <si>
    <t>Como usuário da API ViaCEP
Quero consultar um CEP em formato inválido (alfanumérico)
Para receber uma resposta de erro de requisição</t>
  </si>
  <si>
    <t>Consulta de CEP com letras no formato</t>
  </si>
  <si>
    <t>Given que eu tenho um CEP inválido "95010A10"
When eu envio uma requisição GET para "https://viacep.com.br/ws/95010A10/json"
Then a resposta deve ter status code 400
And a mensagem de erro deve indicar "Bad Request"</t>
  </si>
  <si>
    <t>Como usuário da API ViaCEP
Quero consultar um CEP em formato inválido (com espaço)
Para receber uma resposta de erro de requisição</t>
  </si>
  <si>
    <t>Consulta de CEP com espaço no formato</t>
  </si>
  <si>
    <t>Given que eu tenho um CEP inválido "95010 10"
When eu envio uma requisição GET para "https://viacep.com.br/ws/95010 10/json"
Then a resposta deve ter status code 400
And a mensagem de erro deve indicar "Bad Request"</t>
  </si>
  <si>
    <t>ID</t>
  </si>
  <si>
    <t>CT001</t>
  </si>
  <si>
    <t>CT002</t>
  </si>
  <si>
    <t>CT003</t>
  </si>
  <si>
    <t>CT004</t>
  </si>
  <si>
    <t>CT005</t>
  </si>
  <si>
    <t>CT006</t>
  </si>
  <si>
    <t>Script</t>
  </si>
  <si>
    <t>Passed</t>
  </si>
  <si>
    <t>Status</t>
  </si>
  <si>
    <t>QA</t>
  </si>
  <si>
    <t>Evidence</t>
  </si>
  <si>
    <t>Given que eu tenho um CEP válido "99999999"
When eu envio uma requisição GET para "https://viacep.com.br/ws/99999999/json"
Then a resposta deve ter status code 200
And o campo "erro" deve ser true</t>
  </si>
  <si>
    <t>Patricia Borges</t>
  </si>
  <si>
    <t>CT007</t>
  </si>
  <si>
    <t>Consulta de CEP com formato inválido de 7 dígitos</t>
  </si>
  <si>
    <t>Como usuário da API ViaCEP
Quero consultar um CEP em formato inválido (7 dígitos)
Para receber uma resposta de erro de requisição</t>
  </si>
  <si>
    <t>Given que eu tenho um CEP inválido "9501001"
When eu envio uma requisição GET para "https://viacep.com.br/ws/9501001/json"
Then a resposta deve ter status code 400
And a mensagem de erro deve indicar "Bad Request"</t>
  </si>
  <si>
    <t>https://github.com/patriciaborgess/APICEP/blob/main/CT001%20-%20Consulta%20de%20CEP%20v%C3%A1lido.pdf</t>
  </si>
  <si>
    <t>https://github.com/patriciaborgess/APICEP/blob/main/CT002%20-%20Consulta%20de%20CEP%20v%C3%A1lido%20com%20h%C3%ADfen.pdf</t>
  </si>
  <si>
    <t>https://github.com/patriciaborgess/APICEP/blob/main/CT003%20-%20Consulta%20de%20CEP%20inexistente.pdf</t>
  </si>
  <si>
    <t>https://github.com/patriciaborgess/APICEP/blob/main/CT004%20-%20Consulta%20de%20CEP%20com%20formato%20inv%C3%A1lido%20de%209%20d%C3%ADgitos.pdf</t>
  </si>
  <si>
    <t>https://github.com/patriciaborgess/APICEP/blob/main/CT006%20-%20Consulta%20de%20CEP%20com%20espa%C3%A7o%20no%20formato.pdf</t>
  </si>
  <si>
    <t>https://github.com/patriciaborgess/APICEP/blob/main/CT005%20-%20Consulta%20de%20CEP%20com%20letras%20no%20formato.pdf</t>
  </si>
  <si>
    <t>https://github.com/patriciaborgess/APICEP/blob/main/CT007%20-%20Consulta%20de%20CEP%20com%20formato%20inv%C3%A1lido%20de%207%20d%C3%ADgitos.pdf</t>
  </si>
  <si>
    <t>Data Inicial</t>
  </si>
  <si>
    <t>Data Final</t>
  </si>
  <si>
    <t>Testes Planejado</t>
  </si>
  <si>
    <t>Testes Fechados</t>
  </si>
  <si>
    <t>Progress</t>
  </si>
  <si>
    <t>Defeitos Válidos</t>
  </si>
  <si>
    <t>Defeito por Caso Teste</t>
  </si>
  <si>
    <t>DT Inicio da Execução</t>
  </si>
  <si>
    <t>DT Final da Execução</t>
  </si>
  <si>
    <t>Status Report</t>
  </si>
  <si>
    <t>Testes Falhados</t>
  </si>
  <si>
    <t>Finalizado</t>
  </si>
  <si>
    <t>Status
Overview</t>
  </si>
  <si>
    <t>Date</t>
  </si>
  <si>
    <t xml:space="preserve">Os resultados do dia foram: </t>
  </si>
  <si>
    <t>Pontos de atenção</t>
  </si>
  <si>
    <t>Test Desing: 7
Teste Cases: 7 Passed/ 0 Failed/0 Blocked
Bug: 0</t>
  </si>
  <si>
    <t>Start Date</t>
  </si>
  <si>
    <t>End Date</t>
  </si>
  <si>
    <t>Daily Target</t>
  </si>
  <si>
    <t>Total Test Cases</t>
  </si>
  <si>
    <t>Automatic Planning</t>
  </si>
  <si>
    <t>Planejado</t>
  </si>
  <si>
    <t>Total TC Planned</t>
  </si>
  <si>
    <t>Fechados Dia</t>
  </si>
  <si>
    <t>Fechados</t>
  </si>
  <si>
    <t>*</t>
  </si>
  <si>
    <t>Status Test Case</t>
  </si>
  <si>
    <t>QTD</t>
  </si>
  <si>
    <t>%</t>
  </si>
  <si>
    <t>Not Executed</t>
  </si>
  <si>
    <t>Closed</t>
  </si>
  <si>
    <t>Failed</t>
  </si>
  <si>
    <t>Blocked</t>
  </si>
  <si>
    <t>Total TC</t>
  </si>
  <si>
    <t>New</t>
  </si>
  <si>
    <t>Development</t>
  </si>
  <si>
    <t>Reopen</t>
  </si>
  <si>
    <t>Rejected</t>
  </si>
  <si>
    <t>Status Bugs</t>
  </si>
  <si>
    <t>Tipo de Teste</t>
  </si>
  <si>
    <t>Positivo</t>
  </si>
  <si>
    <t>Alternativo</t>
  </si>
  <si>
    <t>Negativo</t>
  </si>
  <si>
    <t>Positivos</t>
  </si>
  <si>
    <t>Negativos</t>
  </si>
  <si>
    <t>Alternativos</t>
  </si>
  <si>
    <t>Testes executados antes do tempo previsto sem falhas detectadas
Detectado uma possível melhoria na especificação referente ao caso de teste de CEP válido com hífen (CT002)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</si>
</sst>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d"/>
    <numFmt numFmtId="165" formatCode="d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2" tint="-0.24994659260841701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darkVertical">
        <fgColor theme="0" tint="-4.9989318521683403E-2"/>
        <bgColor theme="0"/>
      </patternFill>
    </fill>
  </fills>
  <borders count="9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5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2" applyAlignment="1">
      <alignment vertical="center"/>
    </xf>
    <xf numFmtId="0" fontId="0" fillId="0" borderId="0" xfId="0" applyAlignment="1">
      <alignment vertical="center" wrapText="1"/>
    </xf>
    <xf numFmtId="0" fontId="4" fillId="2" borderId="0" xfId="0" applyFont="1" applyFill="1"/>
    <xf numFmtId="14" fontId="6" fillId="3" borderId="0" xfId="0" applyNumberFormat="1" applyFont="1" applyFill="1" applyAlignment="1" applyProtection="1">
      <alignment horizontal="center" vertical="center"/>
      <protection locked="0"/>
    </xf>
    <xf numFmtId="14" fontId="7" fillId="4" borderId="0" xfId="0" applyNumberFormat="1" applyFont="1" applyFill="1" applyAlignment="1">
      <alignment horizontal="center" vertical="center"/>
    </xf>
    <xf numFmtId="0" fontId="4" fillId="2" borderId="1" xfId="0" applyFont="1" applyFill="1" applyBorder="1"/>
    <xf numFmtId="0" fontId="6" fillId="5" borderId="3" xfId="0" applyFont="1" applyFill="1" applyBorder="1" applyAlignment="1">
      <alignment horizontal="center" vertical="center" wrapText="1" readingOrder="1"/>
    </xf>
    <xf numFmtId="3" fontId="4" fillId="2" borderId="3" xfId="0" applyNumberFormat="1" applyFont="1" applyFill="1" applyBorder="1" applyAlignment="1">
      <alignment horizontal="center" vertical="center"/>
    </xf>
    <xf numFmtId="9" fontId="4" fillId="6" borderId="3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 readingOrder="1"/>
    </xf>
    <xf numFmtId="14" fontId="4" fillId="2" borderId="3" xfId="0" applyNumberFormat="1" applyFont="1" applyFill="1" applyBorder="1" applyAlignment="1">
      <alignment vertical="center" wrapText="1"/>
    </xf>
    <xf numFmtId="14" fontId="9" fillId="8" borderId="0" xfId="0" applyNumberFormat="1" applyFont="1" applyFill="1" applyAlignment="1" applyProtection="1">
      <alignment horizontal="center" vertical="center"/>
      <protection locked="0"/>
    </xf>
    <xf numFmtId="14" fontId="10" fillId="8" borderId="0" xfId="0" applyNumberFormat="1" applyFont="1" applyFill="1" applyAlignment="1" applyProtection="1">
      <alignment horizontal="center" vertical="center" wrapText="1"/>
      <protection locked="0"/>
    </xf>
    <xf numFmtId="14" fontId="2" fillId="4" borderId="0" xfId="0" applyNumberFormat="1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14" fontId="9" fillId="10" borderId="8" xfId="0" applyNumberFormat="1" applyFont="1" applyFill="1" applyBorder="1" applyAlignment="1" applyProtection="1">
      <alignment horizontal="center" vertical="center"/>
      <protection locked="0"/>
    </xf>
    <xf numFmtId="14" fontId="9" fillId="10" borderId="8" xfId="0" applyNumberFormat="1" applyFont="1" applyFill="1" applyBorder="1" applyAlignment="1" applyProtection="1">
      <alignment vertical="center"/>
      <protection locked="0"/>
    </xf>
    <xf numFmtId="14" fontId="11" fillId="10" borderId="8" xfId="0" applyNumberFormat="1" applyFont="1" applyFill="1" applyBorder="1" applyAlignment="1" applyProtection="1">
      <alignment horizontal="center" vertical="center" wrapText="1"/>
      <protection locked="0"/>
    </xf>
    <xf numFmtId="14" fontId="9" fillId="7" borderId="8" xfId="0" applyNumberFormat="1" applyFont="1" applyFill="1" applyBorder="1" applyAlignment="1" applyProtection="1">
      <alignment horizontal="center" vertical="center"/>
      <protection locked="0"/>
    </xf>
    <xf numFmtId="14" fontId="9" fillId="11" borderId="8" xfId="0" applyNumberFormat="1" applyFont="1" applyFill="1" applyBorder="1" applyAlignment="1" applyProtection="1">
      <alignment horizontal="center" vertical="center"/>
      <protection locked="0"/>
    </xf>
    <xf numFmtId="14" fontId="12" fillId="5" borderId="8" xfId="0" applyNumberFormat="1" applyFont="1" applyFill="1" applyBorder="1" applyAlignment="1" applyProtection="1">
      <alignment horizontal="center" vertical="center"/>
      <protection locked="0"/>
    </xf>
    <xf numFmtId="164" fontId="12" fillId="2" borderId="8" xfId="0" applyNumberFormat="1" applyFont="1" applyFill="1" applyBorder="1" applyAlignment="1">
      <alignment horizontal="center" vertical="center"/>
    </xf>
    <xf numFmtId="165" fontId="12" fillId="2" borderId="8" xfId="0" applyNumberFormat="1" applyFont="1" applyFill="1" applyBorder="1" applyAlignment="1">
      <alignment horizontal="center" vertical="center"/>
    </xf>
    <xf numFmtId="3" fontId="12" fillId="5" borderId="8" xfId="0" quotePrefix="1" applyNumberFormat="1" applyFont="1" applyFill="1" applyBorder="1" applyAlignment="1">
      <alignment horizontal="center"/>
    </xf>
    <xf numFmtId="3" fontId="0" fillId="12" borderId="8" xfId="0" applyNumberFormat="1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3" fontId="0" fillId="13" borderId="8" xfId="0" applyNumberFormat="1" applyFill="1" applyBorder="1" applyAlignment="1">
      <alignment horizontal="center"/>
    </xf>
    <xf numFmtId="0" fontId="6" fillId="5" borderId="0" xfId="0" applyFont="1" applyFill="1" applyAlignment="1">
      <alignment vertical="center" wrapText="1" readingOrder="1"/>
    </xf>
    <xf numFmtId="0" fontId="6" fillId="5" borderId="0" xfId="0" applyFont="1" applyFill="1" applyAlignment="1">
      <alignment horizontal="center" vertical="center" wrapText="1" readingOrder="1"/>
    </xf>
    <xf numFmtId="0" fontId="6" fillId="5" borderId="0" xfId="0" applyFont="1" applyFill="1" applyAlignment="1">
      <alignment horizontal="right" vertical="center" wrapText="1" readingOrder="1"/>
    </xf>
    <xf numFmtId="0" fontId="4" fillId="4" borderId="0" xfId="0" applyFont="1" applyFill="1" applyAlignment="1">
      <alignment vertical="center"/>
    </xf>
    <xf numFmtId="3" fontId="4" fillId="14" borderId="0" xfId="0" applyNumberFormat="1" applyFont="1" applyFill="1" applyAlignment="1">
      <alignment horizontal="center" vertical="center"/>
    </xf>
    <xf numFmtId="9" fontId="4" fillId="15" borderId="0" xfId="1" applyFont="1" applyFill="1" applyBorder="1" applyAlignment="1">
      <alignment horizontal="right" vertical="center"/>
    </xf>
    <xf numFmtId="0" fontId="7" fillId="4" borderId="0" xfId="0" applyFont="1" applyFill="1" applyAlignment="1">
      <alignment vertical="center"/>
    </xf>
    <xf numFmtId="3" fontId="7" fillId="14" borderId="0" xfId="0" applyNumberFormat="1" applyFont="1" applyFill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 readingOrder="1"/>
    </xf>
    <xf numFmtId="0" fontId="6" fillId="5" borderId="6" xfId="0" applyFont="1" applyFill="1" applyBorder="1" applyAlignment="1">
      <alignment horizontal="center" vertical="center" wrapText="1" readingOrder="1"/>
    </xf>
    <xf numFmtId="3" fontId="4" fillId="2" borderId="4" xfId="0" applyNumberFormat="1" applyFont="1" applyFill="1" applyBorder="1" applyAlignment="1">
      <alignment horizontal="center" vertical="center" wrapText="1"/>
    </xf>
    <xf numFmtId="3" fontId="4" fillId="2" borderId="6" xfId="0" applyNumberFormat="1" applyFont="1" applyFill="1" applyBorder="1" applyAlignment="1">
      <alignment horizontal="center" vertical="center" wrapText="1"/>
    </xf>
    <xf numFmtId="3" fontId="4" fillId="2" borderId="5" xfId="0" applyNumberFormat="1" applyFont="1" applyFill="1" applyBorder="1" applyAlignment="1">
      <alignment horizontal="center" vertical="center" wrapText="1"/>
    </xf>
    <xf numFmtId="0" fontId="5" fillId="9" borderId="0" xfId="3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 readingOrder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 readingOrder="1"/>
    </xf>
    <xf numFmtId="0" fontId="8" fillId="5" borderId="7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4">
    <cellStyle name="Hiperlink" xfId="2" builtinId="8"/>
    <cellStyle name="Normal" xfId="0" builtinId="0"/>
    <cellStyle name="Normal 2" xfId="3"/>
    <cellStyle name="Porcentagem" xfId="1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Test Cases por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'Status Report'!$A$28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cat>
            <c:strRef>
              <c:f>'Status Report'!$A$29:$A$32</c:f>
              <c:strCache>
                <c:ptCount val="4"/>
                <c:pt idx="0">
                  <c:v>Not Executed</c:v>
                </c:pt>
                <c:pt idx="1">
                  <c:v>Passed</c:v>
                </c:pt>
                <c:pt idx="2">
                  <c:v>Failed</c:v>
                </c:pt>
                <c:pt idx="3">
                  <c:v>Blocked</c:v>
                </c:pt>
              </c:strCache>
            </c:strRef>
          </c:cat>
          <c:val>
            <c:numRef>
              <c:f>'Status Report'!$B$29:$B$32</c:f>
              <c:numCache>
                <c:formatCode>#,##0</c:formatCode>
                <c:ptCount val="4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441818029718398"/>
          <c:y val="0.36558100832180229"/>
          <c:w val="0.36566150097771649"/>
          <c:h val="0.5301011869438341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Bugs</a:t>
            </a:r>
            <a:r>
              <a:rPr lang="pt-BR" sz="1600" baseline="0"/>
              <a:t> por Status</a:t>
            </a:r>
            <a:endParaRPr lang="pt-B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'Status Report'!$A$36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cat>
            <c:strRef>
              <c:f>'Status Report'!$A$37:$A$41</c:f>
              <c:strCache>
                <c:ptCount val="5"/>
                <c:pt idx="0">
                  <c:v>New</c:v>
                </c:pt>
                <c:pt idx="1">
                  <c:v>Development</c:v>
                </c:pt>
                <c:pt idx="2">
                  <c:v>Reopen</c:v>
                </c:pt>
                <c:pt idx="3">
                  <c:v>Closed</c:v>
                </c:pt>
                <c:pt idx="4">
                  <c:v>Rejected</c:v>
                </c:pt>
              </c:strCache>
            </c:strRef>
          </c:cat>
          <c:val>
            <c:numRef>
              <c:f>'Status Report'!$B$37:$B$41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Test Cases por Tipo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Burndown!$A$24</c:f>
              <c:strCache>
                <c:ptCount val="1"/>
                <c:pt idx="0">
                  <c:v>Tipo de Teste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cat>
            <c:strRef>
              <c:f>Burndown!$A$25:$A$27</c:f>
              <c:strCache>
                <c:ptCount val="3"/>
                <c:pt idx="0">
                  <c:v>Positivos</c:v>
                </c:pt>
                <c:pt idx="1">
                  <c:v>Negativos</c:v>
                </c:pt>
                <c:pt idx="2">
                  <c:v>Alternativos</c:v>
                </c:pt>
              </c:strCache>
            </c:strRef>
          </c:cat>
          <c:val>
            <c:numRef>
              <c:f>Burndown!$B$25:$B$27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201942257217853"/>
          <c:y val="0.3008962821954948"/>
          <c:w val="0.42434435695538059"/>
          <c:h val="0.641155894808265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GB"/>
              <a:t>Test Cases Burndown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Burndown!$E$4</c:f>
              <c:strCache>
                <c:ptCount val="1"/>
                <c:pt idx="0">
                  <c:v>Planejado</c:v>
                </c:pt>
              </c:strCache>
            </c:strRef>
          </c:tx>
          <c:spPr>
            <a:ln w="19050" cap="rnd" cmpd="sng" algn="ctr">
              <a:solidFill>
                <a:schemeClr val="accent1">
                  <a:tint val="65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Burndown!$A$5:$A$7</c:f>
              <c:strCache>
                <c:ptCount val="3"/>
                <c:pt idx="0">
                  <c:v>*</c:v>
                </c:pt>
                <c:pt idx="1">
                  <c:v>12/03/2026</c:v>
                </c:pt>
                <c:pt idx="2">
                  <c:v>13/03/2026</c:v>
                </c:pt>
              </c:strCache>
            </c:strRef>
          </c:cat>
          <c:val>
            <c:numRef>
              <c:f>Burndown!$E$5:$E$7</c:f>
              <c:numCache>
                <c:formatCode>#,##0</c:formatCode>
                <c:ptCount val="3"/>
                <c:pt idx="0">
                  <c:v>7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EA5-48C5-98B9-49AC27037B48}"/>
            </c:ext>
          </c:extLst>
        </c:ser>
        <c:ser>
          <c:idx val="2"/>
          <c:order val="1"/>
          <c:tx>
            <c:strRef>
              <c:f>Burndown!$H$4</c:f>
              <c:strCache>
                <c:ptCount val="1"/>
                <c:pt idx="0">
                  <c:v>Fechados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65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Burndown!$A$5:$A$7</c:f>
              <c:strCache>
                <c:ptCount val="3"/>
                <c:pt idx="0">
                  <c:v>*</c:v>
                </c:pt>
                <c:pt idx="1">
                  <c:v>12/03/2026</c:v>
                </c:pt>
                <c:pt idx="2">
                  <c:v>13/03/2026</c:v>
                </c:pt>
              </c:strCache>
            </c:strRef>
          </c:cat>
          <c:val>
            <c:numRef>
              <c:f>Burndown!$H$5:$H$7</c:f>
              <c:numCache>
                <c:formatCode>#,##0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EA5-48C5-98B9-49AC27037B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1648352"/>
        <c:axId val="581655424"/>
      </c:lineChart>
      <c:catAx>
        <c:axId val="58164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1655424"/>
        <c:crosses val="autoZero"/>
        <c:auto val="0"/>
        <c:lblAlgn val="ctr"/>
        <c:lblOffset val="100"/>
        <c:noMultiLvlLbl val="0"/>
      </c:catAx>
      <c:valAx>
        <c:axId val="58165542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8164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GB"/>
              <a:t>Test Cases Burndown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Burndown!$E$4</c:f>
              <c:strCache>
                <c:ptCount val="1"/>
                <c:pt idx="0">
                  <c:v>Planejado</c:v>
                </c:pt>
              </c:strCache>
            </c:strRef>
          </c:tx>
          <c:spPr>
            <a:ln w="19050" cap="rnd" cmpd="sng" algn="ctr">
              <a:solidFill>
                <a:schemeClr val="accent1">
                  <a:tint val="65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Burndown!$A$5:$A$7</c:f>
              <c:strCache>
                <c:ptCount val="3"/>
                <c:pt idx="0">
                  <c:v>*</c:v>
                </c:pt>
                <c:pt idx="1">
                  <c:v>12/03/2026</c:v>
                </c:pt>
                <c:pt idx="2">
                  <c:v>13/03/2026</c:v>
                </c:pt>
              </c:strCache>
            </c:strRef>
          </c:cat>
          <c:val>
            <c:numRef>
              <c:f>Burndown!$E$5:$E$7</c:f>
              <c:numCache>
                <c:formatCode>#,##0</c:formatCode>
                <c:ptCount val="3"/>
                <c:pt idx="0">
                  <c:v>7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EA5-48C5-98B9-49AC27037B48}"/>
            </c:ext>
          </c:extLst>
        </c:ser>
        <c:ser>
          <c:idx val="2"/>
          <c:order val="1"/>
          <c:tx>
            <c:strRef>
              <c:f>Burndown!$H$4</c:f>
              <c:strCache>
                <c:ptCount val="1"/>
                <c:pt idx="0">
                  <c:v>Fechados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65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Burndown!$A$5:$A$7</c:f>
              <c:strCache>
                <c:ptCount val="3"/>
                <c:pt idx="0">
                  <c:v>*</c:v>
                </c:pt>
                <c:pt idx="1">
                  <c:v>12/03/2026</c:v>
                </c:pt>
                <c:pt idx="2">
                  <c:v>13/03/2026</c:v>
                </c:pt>
              </c:strCache>
            </c:strRef>
          </c:cat>
          <c:val>
            <c:numRef>
              <c:f>Burndown!$H$5:$H$7</c:f>
              <c:numCache>
                <c:formatCode>#,##0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EA5-48C5-98B9-49AC27037B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3001808"/>
        <c:axId val="863006160"/>
      </c:lineChart>
      <c:catAx>
        <c:axId val="86300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3006160"/>
        <c:crosses val="autoZero"/>
        <c:auto val="0"/>
        <c:lblAlgn val="ctr"/>
        <c:lblOffset val="100"/>
        <c:noMultiLvlLbl val="0"/>
      </c:catAx>
      <c:valAx>
        <c:axId val="8630061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6300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26</xdr:row>
      <xdr:rowOff>7621</xdr:rowOff>
    </xdr:from>
    <xdr:to>
      <xdr:col>7</xdr:col>
      <xdr:colOff>403860</xdr:colOff>
      <xdr:row>33</xdr:row>
      <xdr:rowOff>7620</xdr:rowOff>
    </xdr:to>
    <xdr:graphicFrame macro="">
      <xdr:nvGraphicFramePr>
        <xdr:cNvPr id="7" name="Gráfico 6">
          <a:extLst>
            <a:ext uri="{FF2B5EF4-FFF2-40B4-BE49-F238E27FC236}">
              <a16:creationId xmlns="" xmlns:a16="http://schemas.microsoft.com/office/drawing/2014/main" id="{D765E148-5685-479E-B43E-BE2BA8056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</xdr:colOff>
      <xdr:row>34</xdr:row>
      <xdr:rowOff>7621</xdr:rowOff>
    </xdr:from>
    <xdr:to>
      <xdr:col>6</xdr:col>
      <xdr:colOff>655320</xdr:colOff>
      <xdr:row>42</xdr:row>
      <xdr:rowOff>7620</xdr:rowOff>
    </xdr:to>
    <xdr:graphicFrame macro="">
      <xdr:nvGraphicFramePr>
        <xdr:cNvPr id="8" name="Gráfico 7">
          <a:extLst>
            <a:ext uri="{FF2B5EF4-FFF2-40B4-BE49-F238E27FC236}">
              <a16:creationId xmlns="" xmlns:a16="http://schemas.microsoft.com/office/drawing/2014/main" id="{D765E148-5685-479E-B43E-BE2BA8056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464820</xdr:colOff>
      <xdr:row>26</xdr:row>
      <xdr:rowOff>22860</xdr:rowOff>
    </xdr:from>
    <xdr:to>
      <xdr:col>10</xdr:col>
      <xdr:colOff>1089660</xdr:colOff>
      <xdr:row>33</xdr:row>
      <xdr:rowOff>22860</xdr:rowOff>
    </xdr:to>
    <xdr:graphicFrame macro="">
      <xdr:nvGraphicFramePr>
        <xdr:cNvPr id="10" name="Gráfico 9">
          <a:extLst>
            <a:ext uri="{FF2B5EF4-FFF2-40B4-BE49-F238E27FC236}">
              <a16:creationId xmlns="" xmlns:a16="http://schemas.microsoft.com/office/drawing/2014/main" id="{D765E148-5685-479E-B43E-BE2BA8056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</xdr:row>
      <xdr:rowOff>114300</xdr:rowOff>
    </xdr:from>
    <xdr:to>
      <xdr:col>10</xdr:col>
      <xdr:colOff>1097280</xdr:colOff>
      <xdr:row>25</xdr:row>
      <xdr:rowOff>144780</xdr:rowOff>
    </xdr:to>
    <xdr:graphicFrame macro="">
      <xdr:nvGraphicFramePr>
        <xdr:cNvPr id="9" name="Gráfico 4">
          <a:extLst>
            <a:ext uri="{FF2B5EF4-FFF2-40B4-BE49-F238E27FC236}">
              <a16:creationId xmlns="" xmlns:a16="http://schemas.microsoft.com/office/drawing/2014/main" id="{E4B46AC4-349A-4294-A213-4A98991A2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="" xmlns:a16="http://schemas.microsoft.com/office/drawing/2014/main" id="{34125726-407E-43FC-8D89-A5FEB7DB439C}"/>
            </a:ext>
          </a:extLst>
        </xdr:cNvPr>
        <xdr:cNvSpPr txBox="1"/>
      </xdr:nvSpPr>
      <xdr:spPr>
        <a:xfrm>
          <a:off x="5836920" y="3962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0</xdr:col>
      <xdr:colOff>0</xdr:colOff>
      <xdr:row>7</xdr:row>
      <xdr:rowOff>160020</xdr:rowOff>
    </xdr:from>
    <xdr:to>
      <xdr:col>9</xdr:col>
      <xdr:colOff>441960</xdr:colOff>
      <xdr:row>22</xdr:row>
      <xdr:rowOff>0</xdr:rowOff>
    </xdr:to>
    <xdr:graphicFrame macro="">
      <xdr:nvGraphicFramePr>
        <xdr:cNvPr id="3" name="Gráfico 4">
          <a:extLst>
            <a:ext uri="{FF2B5EF4-FFF2-40B4-BE49-F238E27FC236}">
              <a16:creationId xmlns="" xmlns:a16="http://schemas.microsoft.com/office/drawing/2014/main" id="{E4B46AC4-349A-4294-A213-4A98991A2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/Desktop/Nova%20pasta/Test%20Scripts%20-%20Atualiza&#231;&#227;o%20Cadastral%20-%20Sprint1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"/>
      <sheetName val="BurnDown"/>
      <sheetName val="Scripts"/>
      <sheetName val="Bugs IT"/>
      <sheetName val="Bugs UAT"/>
      <sheetName val="Bugs Cancelados"/>
    </sheetNames>
    <sheetDataSet>
      <sheetData sheetId="0"/>
      <sheetData sheetId="1">
        <row r="5">
          <cell r="A5" t="str">
            <v>*</v>
          </cell>
        </row>
        <row r="6">
          <cell r="A6">
            <v>45384</v>
          </cell>
        </row>
        <row r="7">
          <cell r="A7">
            <v>45385</v>
          </cell>
        </row>
        <row r="8">
          <cell r="A8">
            <v>45386</v>
          </cell>
        </row>
        <row r="9">
          <cell r="A9">
            <v>45387</v>
          </cell>
        </row>
        <row r="10">
          <cell r="A10">
            <v>45390</v>
          </cell>
        </row>
        <row r="11">
          <cell r="A11">
            <v>45391</v>
          </cell>
        </row>
        <row r="12">
          <cell r="A12">
            <v>45392</v>
          </cell>
        </row>
        <row r="13">
          <cell r="A13">
            <v>45393</v>
          </cell>
        </row>
        <row r="14">
          <cell r="A14">
            <v>45394</v>
          </cell>
        </row>
      </sheetData>
      <sheetData sheetId="2">
        <row r="1">
          <cell r="F1" t="str">
            <v>Closed Date</v>
          </cell>
        </row>
        <row r="2">
          <cell r="F2">
            <v>45390</v>
          </cell>
        </row>
        <row r="3">
          <cell r="F3">
            <v>45390</v>
          </cell>
        </row>
        <row r="4">
          <cell r="F4">
            <v>45390</v>
          </cell>
        </row>
        <row r="5">
          <cell r="F5">
            <v>45390</v>
          </cell>
        </row>
        <row r="6">
          <cell r="F6">
            <v>45387</v>
          </cell>
        </row>
        <row r="7">
          <cell r="F7">
            <v>45387</v>
          </cell>
        </row>
        <row r="10">
          <cell r="F10">
            <v>45384</v>
          </cell>
        </row>
        <row r="11">
          <cell r="F11">
            <v>45384</v>
          </cell>
        </row>
        <row r="12">
          <cell r="F12">
            <v>45384</v>
          </cell>
        </row>
        <row r="13">
          <cell r="F13">
            <v>45384</v>
          </cell>
        </row>
        <row r="14">
          <cell r="F14">
            <v>45384</v>
          </cell>
        </row>
        <row r="15">
          <cell r="F15">
            <v>45384</v>
          </cell>
        </row>
        <row r="16">
          <cell r="F16">
            <v>45386</v>
          </cell>
        </row>
        <row r="17">
          <cell r="F17">
            <v>45387</v>
          </cell>
        </row>
        <row r="18">
          <cell r="F18">
            <v>45387</v>
          </cell>
        </row>
        <row r="19">
          <cell r="F19">
            <v>45393</v>
          </cell>
        </row>
        <row r="20">
          <cell r="F20">
            <v>45390</v>
          </cell>
        </row>
        <row r="21">
          <cell r="F21">
            <v>45386</v>
          </cell>
        </row>
        <row r="22">
          <cell r="F22">
            <v>45386</v>
          </cell>
        </row>
        <row r="23">
          <cell r="F23">
            <v>45391</v>
          </cell>
        </row>
        <row r="24">
          <cell r="F24">
            <v>45387</v>
          </cell>
        </row>
        <row r="25">
          <cell r="F25">
            <v>45387</v>
          </cell>
        </row>
        <row r="26">
          <cell r="F26">
            <v>45386</v>
          </cell>
        </row>
        <row r="27">
          <cell r="F27">
            <v>45386</v>
          </cell>
        </row>
        <row r="28">
          <cell r="F28">
            <v>45387</v>
          </cell>
        </row>
        <row r="29">
          <cell r="F29">
            <v>45387</v>
          </cell>
        </row>
        <row r="30">
          <cell r="F30">
            <v>45390</v>
          </cell>
        </row>
        <row r="31">
          <cell r="F31">
            <v>45390</v>
          </cell>
        </row>
        <row r="32">
          <cell r="F32">
            <v>45387</v>
          </cell>
        </row>
        <row r="33">
          <cell r="F33">
            <v>45387</v>
          </cell>
        </row>
        <row r="34">
          <cell r="F34">
            <v>45390</v>
          </cell>
        </row>
        <row r="35">
          <cell r="F35">
            <v>45387</v>
          </cell>
        </row>
        <row r="36">
          <cell r="F36">
            <v>45387</v>
          </cell>
        </row>
        <row r="37">
          <cell r="F37">
            <v>45387</v>
          </cell>
        </row>
        <row r="38">
          <cell r="F38">
            <v>45391</v>
          </cell>
        </row>
        <row r="39">
          <cell r="F39">
            <v>45392</v>
          </cell>
        </row>
        <row r="40">
          <cell r="F40">
            <v>45393</v>
          </cell>
        </row>
        <row r="41">
          <cell r="F41">
            <v>45385</v>
          </cell>
        </row>
        <row r="42">
          <cell r="F42">
            <v>45393</v>
          </cell>
        </row>
        <row r="43">
          <cell r="F43">
            <v>45393</v>
          </cell>
        </row>
        <row r="44">
          <cell r="F44">
            <v>45393</v>
          </cell>
        </row>
        <row r="45">
          <cell r="F45">
            <v>45393</v>
          </cell>
        </row>
        <row r="46">
          <cell r="F46">
            <v>45393</v>
          </cell>
        </row>
        <row r="50">
          <cell r="F50">
            <v>45391</v>
          </cell>
        </row>
        <row r="51">
          <cell r="F51">
            <v>45393</v>
          </cell>
        </row>
        <row r="52">
          <cell r="F52">
            <v>45393</v>
          </cell>
        </row>
        <row r="53">
          <cell r="F53">
            <v>45393</v>
          </cell>
        </row>
        <row r="54">
          <cell r="F54">
            <v>45391</v>
          </cell>
        </row>
        <row r="55">
          <cell r="F55">
            <v>45391</v>
          </cell>
        </row>
        <row r="56">
          <cell r="F56">
            <v>45391</v>
          </cell>
        </row>
        <row r="57">
          <cell r="F57">
            <v>45391</v>
          </cell>
        </row>
      </sheetData>
      <sheetData sheetId="3">
        <row r="1">
          <cell r="E1" t="str">
            <v>Repro Steps</v>
          </cell>
        </row>
        <row r="2">
          <cell r="E2" t="str">
            <v>Step by step: Quando abrir o aplicativo 'Toyota' E escolher escolher a opção 'Banco Toyota' no menu de hambuerguer E está na tela HOME do BTB E clicar no menu BTB E escolher 'fazer login' E acessar 'Meus contratos' E emitir boleto Expected result: Boleto emitido com sucesso Result obtained: Erro genérico Environment: Clone apontado para Homolog Test Data: 2558432/23 27327413103 Btb@2024</v>
          </cell>
        </row>
        <row r="3">
          <cell r="E3" t="str">
            <v>Step by step: Quando abrir o aplicativo 'Toyota' E escolher escolher a opção 'Banco Toyota' no menu de hambuerguer E está na tela HOME do BTB E clicar no menu BTB E escolher 'fazer login' E acessar 'Meus contratos' E clicar no card do contrato aberto E clicar no card Carne digital E clicar para impressão de uma parcela Expected result: boleto da parcela ser exibido com sucesso Result obtained: Erro genérico Environment: Clone apontado para Homolog Test Data: 2558432/23 27327413103 Btb@2024</v>
          </cell>
        </row>
        <row r="4">
          <cell r="E4" t="str">
            <v>Step by step: Quando abrir o aplicativo 'Toyota' E escolher escolher a opção 'Banco Toyota' no menu de hambuerguer E está na tela HOME do BTB E clicar no menu BTB E escolher 'fazer login' E acessar 'Meus contratos' E clicar na aba liquidados E clicar no card do contrato liquidado Expected result: parcelas pagas serem exibidas com sucesso Caso exiba erro genérico ao fechar mensagem deverá retornar a tela de contratos Result obtained: aplicação exibe erro genérico E ao fechar a mensagem reprocessa operação</v>
          </cell>
        </row>
        <row r="5">
          <cell r="E5" t="str">
            <v>Step by step:  Quando abrir o aplicativo 'Toyota' E escolher escolher a opção 'Banco Toyota' no menu de hambúrguer E está na tela HOME do BTB E clicar no botão 'Simule o seu financiamento' E clicar em um modelo E clicar no botão 'Personalize seu financiamento' E deixar a entrada e parcela padrão E clicar no botão 'Calcular' Expected result:  Exibir resumo da simulação Result obtained:  Erro genérico Environment: OneApp clone direcionado para BTB HomologaçãoAPIs Dev  Test Data: NA</v>
          </cell>
        </row>
        <row r="6">
          <cell r="E6" t="str">
            <v>Step by step: Quando abrir o aplicativo 'Toyota' E escolher escolher a opção 'Banco Toyota' no menu de hambúrguer E está na tela HOME do BTB E clicar no menu BTB E escolher 'fazer login' E acessar 'Meus contratos' E selecionar contrato que possui vencimento para o dia corrente E clicar em emissão de boletos Expected result: Campo selecione a data para pagamento com data atual desabilitado para edição Result obtained: Campo selecione a data para pagamento com data desabilitado preenchido com dd/MM/yyyy Environment: Clone apontado para Homolog Test Data: 2528912/23 37530746596 Btb@2024</v>
          </cell>
        </row>
        <row r="7">
          <cell r="E7" t="str">
            <v>Step by step: Dado que CPF possui contrato adimplente E contrato está está em assessoria Quando acessar home BTB E acessar home BTBE clicar em Meus ContratoE validar login e biometriaE clicar no contrato da pré condiçãoE clicar em 'Extrato e emissão de boleto' Expected result: Então tela de extrato será exibida com mensagem "Não é possível emitir boletos. Para a solicitação deste serviço, por favor, contate &lt;nome da assessoria&gt; pelo telefone &lt;telefone da assessoria&gt;" E parcelas não podem ser visualizada Result obtained: Parcelas estão sendo exibidas com sucesso, sem mensagem Environment: Clone apontado para Homolog Test Data: 1873746/19 92434411169 Btb@2024</v>
          </cell>
        </row>
        <row r="8">
          <cell r="E8" t="str">
            <v>Step by step:Dado que CPF possui contrato novo em atraso de 5 dias  E contrato está está em assessoria Quando acessar home BTB E acessar home BTB E clicar em Meus Contrato E validar login e biometria E clicar no contrato da pré condição E clicar em 'Extrato e emissão de boleto' Expected result: Então tela de extrato será exibida apenas com mensagem "Não é possível emitir boletos. Para a solicitação deste serviço, por favor, contate &lt;nome da assessoria&gt; pelo telefone &lt;telefone da assessoria&gt;" E parcelas não podem ser visualizada Result obtained: Está sendo exibida mensagem sobre atraso de parcela Environment: Clone apontado para Homolog Test Data: 2562430/2377702957859 Btb@2024</v>
          </cell>
        </row>
      </sheetData>
      <sheetData sheetId="4">
        <row r="1">
          <cell r="D1" t="str">
            <v>Title</v>
          </cell>
        </row>
        <row r="2">
          <cell r="D2" t="str">
            <v>ON-244 - UAT - Validação de login deve ser exibida apenas quando usuário seleciona a área logada não ao acessar tela de home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patriciaborgess/APICEP/blob/main/CT002%20-%20Consulta%20de%20CEP%20v%C3%A1lido%20com%20h%C3%ADf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workbookViewId="0">
      <selection activeCell="B32" sqref="B32"/>
    </sheetView>
  </sheetViews>
  <sheetFormatPr defaultRowHeight="14.4" x14ac:dyDescent="0.3"/>
  <cols>
    <col min="1" max="1" width="16.21875" bestFit="1" customWidth="1"/>
    <col min="2" max="2" width="16.6640625" customWidth="1"/>
    <col min="3" max="3" width="11.88671875" bestFit="1" customWidth="1"/>
    <col min="4" max="4" width="13.5546875" customWidth="1"/>
    <col min="5" max="5" width="13.21875" customWidth="1"/>
    <col min="6" max="6" width="13.77734375" customWidth="1"/>
    <col min="7" max="7" width="10.109375" customWidth="1"/>
    <col min="8" max="8" width="16.109375" customWidth="1"/>
    <col min="9" max="9" width="15.5546875" customWidth="1"/>
    <col min="10" max="10" width="14.77734375" customWidth="1"/>
    <col min="11" max="11" width="16.21875" customWidth="1"/>
  </cols>
  <sheetData>
    <row r="1" spans="1:11" ht="28.8" x14ac:dyDescent="0.3">
      <c r="A1" s="48" t="s">
        <v>55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5.6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.6" x14ac:dyDescent="0.3">
      <c r="A3" s="7" t="s">
        <v>46</v>
      </c>
      <c r="B3" s="7" t="s">
        <v>47</v>
      </c>
      <c r="C3" s="6"/>
      <c r="D3" s="6"/>
      <c r="E3" s="6"/>
      <c r="F3" s="6"/>
      <c r="G3" s="6"/>
      <c r="H3" s="6"/>
      <c r="I3" s="6"/>
      <c r="J3" s="6"/>
      <c r="K3" s="6"/>
    </row>
    <row r="4" spans="1:11" ht="15.6" x14ac:dyDescent="0.3">
      <c r="A4" s="8">
        <v>46093</v>
      </c>
      <c r="B4" s="8">
        <v>46094</v>
      </c>
      <c r="C4" s="6"/>
      <c r="D4" s="9"/>
      <c r="E4" s="6"/>
      <c r="F4" s="9"/>
      <c r="G4" s="6"/>
      <c r="H4" s="6"/>
      <c r="I4" s="6"/>
      <c r="J4" s="6"/>
      <c r="K4" s="6"/>
    </row>
    <row r="5" spans="1:11" ht="15.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ht="31.2" x14ac:dyDescent="0.3">
      <c r="A6" s="43" t="s">
        <v>0</v>
      </c>
      <c r="B6" s="49"/>
      <c r="C6" s="10" t="s">
        <v>48</v>
      </c>
      <c r="D6" s="10" t="s">
        <v>49</v>
      </c>
      <c r="E6" s="10" t="s">
        <v>56</v>
      </c>
      <c r="F6" s="10" t="s">
        <v>50</v>
      </c>
      <c r="G6" s="10" t="s">
        <v>51</v>
      </c>
      <c r="H6" s="10" t="s">
        <v>52</v>
      </c>
      <c r="I6" s="10" t="s">
        <v>53</v>
      </c>
      <c r="J6" s="10" t="s">
        <v>54</v>
      </c>
      <c r="K6" s="10" t="s">
        <v>30</v>
      </c>
    </row>
    <row r="7" spans="1:11" ht="15.6" x14ac:dyDescent="0.3">
      <c r="A7" s="50" t="s">
        <v>1</v>
      </c>
      <c r="B7" s="51"/>
      <c r="C7" s="11">
        <v>7</v>
      </c>
      <c r="D7" s="11">
        <v>7</v>
      </c>
      <c r="E7" s="11">
        <v>0</v>
      </c>
      <c r="F7" s="12">
        <f>IFERROR(D7/(C7-E7),0)</f>
        <v>1</v>
      </c>
      <c r="G7" s="11">
        <f>COUNTIFS('[1]Bugs IT'!E:E,#REF!)+COUNTIFS('[1]Bugs UAT'!D:D,#REF!)</f>
        <v>0</v>
      </c>
      <c r="H7" s="12">
        <f>IF(C7=0,0,G7/C7)</f>
        <v>0</v>
      </c>
      <c r="I7" s="13">
        <v>46093</v>
      </c>
      <c r="J7" s="13">
        <v>46093</v>
      </c>
      <c r="K7" s="14" t="s">
        <v>57</v>
      </c>
    </row>
    <row r="9" spans="1:11" ht="15.6" customHeight="1" x14ac:dyDescent="0.3">
      <c r="A9" s="52" t="s">
        <v>58</v>
      </c>
      <c r="B9" s="10" t="s">
        <v>59</v>
      </c>
      <c r="C9" s="43" t="s">
        <v>60</v>
      </c>
      <c r="D9" s="44"/>
      <c r="E9" s="44"/>
      <c r="F9" s="44"/>
      <c r="G9" s="15"/>
      <c r="H9" s="43" t="s">
        <v>61</v>
      </c>
      <c r="I9" s="44"/>
      <c r="J9" s="44"/>
      <c r="K9" s="44"/>
    </row>
    <row r="10" spans="1:11" ht="52.2" customHeight="1" x14ac:dyDescent="0.3">
      <c r="A10" s="53"/>
      <c r="B10" s="16">
        <v>46093</v>
      </c>
      <c r="C10" s="54" t="s">
        <v>62</v>
      </c>
      <c r="D10" s="55"/>
      <c r="E10" s="55"/>
      <c r="F10" s="55"/>
      <c r="G10" s="56"/>
      <c r="H10" s="45" t="s">
        <v>93</v>
      </c>
      <c r="I10" s="46"/>
      <c r="J10" s="46"/>
      <c r="K10" s="47"/>
    </row>
    <row r="27" spans="1:3" ht="15.6" x14ac:dyDescent="0.3">
      <c r="A27" s="35" t="s">
        <v>73</v>
      </c>
      <c r="B27" s="35"/>
      <c r="C27" s="35"/>
    </row>
    <row r="28" spans="1:3" ht="15.6" x14ac:dyDescent="0.3">
      <c r="A28" s="35" t="s">
        <v>30</v>
      </c>
      <c r="B28" s="36" t="s">
        <v>74</v>
      </c>
      <c r="C28" s="37" t="s">
        <v>75</v>
      </c>
    </row>
    <row r="29" spans="1:3" ht="15.6" x14ac:dyDescent="0.3">
      <c r="A29" s="38" t="s">
        <v>76</v>
      </c>
      <c r="B29" s="39">
        <v>0</v>
      </c>
      <c r="C29" s="40">
        <f>IF(B29=0,0,B29/$B$33)</f>
        <v>0</v>
      </c>
    </row>
    <row r="30" spans="1:3" ht="15.6" x14ac:dyDescent="0.3">
      <c r="A30" s="38" t="s">
        <v>29</v>
      </c>
      <c r="B30" s="39">
        <v>7</v>
      </c>
      <c r="C30" s="40">
        <f>IF(B30=0,0,B30/$B$33)</f>
        <v>1</v>
      </c>
    </row>
    <row r="31" spans="1:3" ht="15.6" x14ac:dyDescent="0.3">
      <c r="A31" s="38" t="s">
        <v>78</v>
      </c>
      <c r="B31" s="39">
        <v>0</v>
      </c>
      <c r="C31" s="40">
        <f>IF(B31=0,0,B31/$B$33)</f>
        <v>0</v>
      </c>
    </row>
    <row r="32" spans="1:3" ht="15.6" x14ac:dyDescent="0.3">
      <c r="A32" s="38" t="s">
        <v>79</v>
      </c>
      <c r="B32" s="39">
        <v>0</v>
      </c>
      <c r="C32" s="40">
        <f>IF(B32=0,0,B32/$B$33)</f>
        <v>0</v>
      </c>
    </row>
    <row r="33" spans="1:3" ht="15.6" x14ac:dyDescent="0.3">
      <c r="A33" s="41" t="s">
        <v>80</v>
      </c>
      <c r="B33" s="42">
        <f>SUM(B29:B32)</f>
        <v>7</v>
      </c>
      <c r="C33" s="40"/>
    </row>
    <row r="35" spans="1:3" ht="15.6" x14ac:dyDescent="0.3">
      <c r="A35" s="35" t="s">
        <v>85</v>
      </c>
      <c r="B35" s="35"/>
      <c r="C35" s="35"/>
    </row>
    <row r="36" spans="1:3" ht="15.6" x14ac:dyDescent="0.3">
      <c r="A36" s="35" t="s">
        <v>30</v>
      </c>
      <c r="B36" s="36" t="s">
        <v>74</v>
      </c>
      <c r="C36" s="37" t="s">
        <v>75</v>
      </c>
    </row>
    <row r="37" spans="1:3" ht="15.6" x14ac:dyDescent="0.3">
      <c r="A37" s="38" t="s">
        <v>81</v>
      </c>
      <c r="B37" s="39">
        <v>0</v>
      </c>
      <c r="C37" s="40">
        <f>IF(B37=0,0,B37/$B$33)</f>
        <v>0</v>
      </c>
    </row>
    <row r="38" spans="1:3" ht="15.6" x14ac:dyDescent="0.3">
      <c r="A38" s="38" t="s">
        <v>82</v>
      </c>
      <c r="B38" s="39">
        <v>0</v>
      </c>
      <c r="C38" s="40">
        <f>IF(B38=0,0,B38/$B$33)</f>
        <v>0</v>
      </c>
    </row>
    <row r="39" spans="1:3" ht="15.6" x14ac:dyDescent="0.3">
      <c r="A39" s="38" t="s">
        <v>83</v>
      </c>
      <c r="B39" s="39">
        <v>0</v>
      </c>
      <c r="C39" s="40">
        <f>IF(B39=0,0,B39/$B$33)</f>
        <v>0</v>
      </c>
    </row>
    <row r="40" spans="1:3" ht="15.6" x14ac:dyDescent="0.3">
      <c r="A40" s="38" t="s">
        <v>77</v>
      </c>
      <c r="B40" s="39">
        <v>0</v>
      </c>
      <c r="C40" s="40">
        <f>IF(B40=0,0,B40/$B$33)</f>
        <v>0</v>
      </c>
    </row>
    <row r="41" spans="1:3" ht="15.6" x14ac:dyDescent="0.3">
      <c r="A41" s="38" t="s">
        <v>84</v>
      </c>
      <c r="B41" s="39">
        <v>0</v>
      </c>
      <c r="C41" s="40">
        <f>IF(B41=0,0,B41/$B$33)</f>
        <v>0</v>
      </c>
    </row>
    <row r="42" spans="1:3" ht="15.6" x14ac:dyDescent="0.3">
      <c r="A42" s="41" t="s">
        <v>80</v>
      </c>
      <c r="B42" s="42">
        <f>SUM(B37:B41)</f>
        <v>0</v>
      </c>
      <c r="C42" s="40"/>
    </row>
  </sheetData>
  <mergeCells count="8">
    <mergeCell ref="H9:K9"/>
    <mergeCell ref="H10:K10"/>
    <mergeCell ref="A1:K1"/>
    <mergeCell ref="A6:B6"/>
    <mergeCell ref="A7:B7"/>
    <mergeCell ref="A9:A10"/>
    <mergeCell ref="C9:F9"/>
    <mergeCell ref="C10:G10"/>
  </mergeCells>
  <conditionalFormatting sqref="F7 H7">
    <cfRule type="dataBar" priority="3">
      <dataBar>
        <cfvo type="num" val="0"/>
        <cfvo type="num" val="1"/>
        <color rgb="FF0070C0"/>
      </dataBar>
      <extLst>
        <ext xmlns:x14="http://schemas.microsoft.com/office/spreadsheetml/2009/9/main" uri="{B025F937-C7B1-47D3-B67F-A62EFF666E3E}">
          <x14:id>{94C0ACDE-2E34-4691-AAD4-B901AFF6E305}</x14:id>
        </ext>
      </extLst>
    </cfRule>
  </conditionalFormatting>
  <conditionalFormatting sqref="K7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9:C33">
    <cfRule type="dataBar" priority="2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{E12F4E59-2B9D-4D7C-8633-4FE75EE8AD93}</x14:id>
        </ext>
      </extLst>
    </cfRule>
  </conditionalFormatting>
  <conditionalFormatting sqref="C37:C42">
    <cfRule type="dataBar" priority="1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{D7E86449-7865-4BB2-ACE0-76D3817FD970}</x14:id>
        </ext>
      </extLst>
    </cfRule>
  </conditionalFormatting>
  <dataValidations count="1">
    <dataValidation type="list" allowBlank="1" showInputMessage="1" showErrorMessage="1" sqref="K7">
      <formula1>"Não Iniciado, Em Andamento, Finalizado"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C0ACDE-2E34-4691-AAD4-B901AFF6E30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F7 H7</xm:sqref>
        </x14:conditionalFormatting>
        <x14:conditionalFormatting xmlns:xm="http://schemas.microsoft.com/office/excel/2006/main">
          <x14:cfRule type="dataBar" id="{E12F4E59-2B9D-4D7C-8633-4FE75EE8AD9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C29:C33</xm:sqref>
        </x14:conditionalFormatting>
        <x14:conditionalFormatting xmlns:xm="http://schemas.microsoft.com/office/excel/2006/main">
          <x14:cfRule type="dataBar" id="{D7E86449-7865-4BB2-ACE0-76D3817FD97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C37:C42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C26" sqref="C26"/>
    </sheetView>
  </sheetViews>
  <sheetFormatPr defaultRowHeight="14.4" x14ac:dyDescent="0.3"/>
  <cols>
    <col min="1" max="1" width="11.88671875" bestFit="1" customWidth="1"/>
    <col min="2" max="2" width="10.77734375" bestFit="1" customWidth="1"/>
    <col min="7" max="7" width="11.109375" bestFit="1" customWidth="1"/>
    <col min="8" max="8" width="8.21875" bestFit="1" customWidth="1"/>
  </cols>
  <sheetData>
    <row r="1" spans="1:8" ht="20.399999999999999" x14ac:dyDescent="0.3">
      <c r="A1" s="17" t="s">
        <v>63</v>
      </c>
      <c r="B1" s="17" t="s">
        <v>64</v>
      </c>
      <c r="C1" s="17" t="s">
        <v>65</v>
      </c>
      <c r="D1" s="18" t="s">
        <v>66</v>
      </c>
    </row>
    <row r="2" spans="1:8" x14ac:dyDescent="0.3">
      <c r="A2" s="19">
        <v>46093</v>
      </c>
      <c r="B2" s="19">
        <v>46094</v>
      </c>
      <c r="C2" s="20">
        <f>D2/NETWORKDAYS(A2,B2)</f>
        <v>3.5</v>
      </c>
      <c r="D2" s="21">
        <f>'Status Report'!C7</f>
        <v>7</v>
      </c>
    </row>
    <row r="4" spans="1:8" ht="24" x14ac:dyDescent="0.3">
      <c r="A4" s="22" t="s">
        <v>59</v>
      </c>
      <c r="B4" s="23"/>
      <c r="C4" s="23"/>
      <c r="D4" s="24" t="s">
        <v>67</v>
      </c>
      <c r="E4" s="25" t="s">
        <v>68</v>
      </c>
      <c r="F4" s="25" t="s">
        <v>69</v>
      </c>
      <c r="G4" s="26" t="s">
        <v>70</v>
      </c>
      <c r="H4" s="26" t="s">
        <v>71</v>
      </c>
    </row>
    <row r="5" spans="1:8" x14ac:dyDescent="0.3">
      <c r="A5" s="27" t="s">
        <v>72</v>
      </c>
      <c r="B5" s="28"/>
      <c r="C5" s="29"/>
      <c r="D5" s="30">
        <f>D2</f>
        <v>7</v>
      </c>
      <c r="E5" s="31">
        <f>D5</f>
        <v>7</v>
      </c>
      <c r="F5" s="32">
        <v>0</v>
      </c>
      <c r="G5" s="33" t="s">
        <v>72</v>
      </c>
      <c r="H5" s="34">
        <f>D2</f>
        <v>7</v>
      </c>
    </row>
    <row r="6" spans="1:8" x14ac:dyDescent="0.3">
      <c r="A6" s="27">
        <f>A2</f>
        <v>46093</v>
      </c>
      <c r="B6" s="28">
        <f>IFERROR(WEEKDAY(A6,1),0)</f>
        <v>5</v>
      </c>
      <c r="C6" s="29">
        <f>IFERROR(WEEKDAY(B6,1),0)</f>
        <v>5</v>
      </c>
      <c r="D6" s="30">
        <f>D5-F6</f>
        <v>4</v>
      </c>
      <c r="E6" s="31">
        <f>D6</f>
        <v>4</v>
      </c>
      <c r="F6" s="32">
        <v>3</v>
      </c>
      <c r="G6" s="33">
        <v>7</v>
      </c>
      <c r="H6" s="34">
        <f>IF(G6="","",H5-G6)</f>
        <v>0</v>
      </c>
    </row>
    <row r="7" spans="1:8" x14ac:dyDescent="0.3">
      <c r="A7" s="27">
        <f>WORKDAY(A6,1)</f>
        <v>46094</v>
      </c>
      <c r="B7" s="28">
        <f>IFERROR(WEEKDAY(A7,1),0)</f>
        <v>6</v>
      </c>
      <c r="C7" s="29">
        <f>IFERROR(WEEKDAY(B7,1),0)</f>
        <v>6</v>
      </c>
      <c r="D7" s="30">
        <f>D6-F7</f>
        <v>0</v>
      </c>
      <c r="E7" s="31">
        <f>D7</f>
        <v>0</v>
      </c>
      <c r="F7" s="32">
        <v>4</v>
      </c>
      <c r="G7" s="33">
        <f>COUNTIF([1]Scripts!F:F,A7)</f>
        <v>0</v>
      </c>
      <c r="H7" s="34">
        <f t="shared" ref="H7" si="0">IF(G7="","",H6-G7)</f>
        <v>0</v>
      </c>
    </row>
    <row r="24" spans="1:2" x14ac:dyDescent="0.3">
      <c r="A24" t="s">
        <v>86</v>
      </c>
    </row>
    <row r="25" spans="1:2" x14ac:dyDescent="0.3">
      <c r="A25" t="s">
        <v>90</v>
      </c>
      <c r="B25">
        <v>2</v>
      </c>
    </row>
    <row r="26" spans="1:2" x14ac:dyDescent="0.3">
      <c r="A26" t="s">
        <v>91</v>
      </c>
      <c r="B26">
        <v>4</v>
      </c>
    </row>
    <row r="27" spans="1:2" x14ac:dyDescent="0.3">
      <c r="A27" t="s">
        <v>92</v>
      </c>
      <c r="B27">
        <v>1</v>
      </c>
    </row>
  </sheetData>
  <conditionalFormatting sqref="A5:A7">
    <cfRule type="expression" dxfId="0" priority="1">
      <formula>OR(WEEKDAY(A5,1)=1,WEEKDAY(A5,1)=7)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opLeftCell="C1" zoomScale="85" zoomScaleNormal="85" workbookViewId="0">
      <selection activeCell="F7" sqref="F7"/>
    </sheetView>
  </sheetViews>
  <sheetFormatPr defaultRowHeight="14.4" x14ac:dyDescent="0.3"/>
  <cols>
    <col min="2" max="2" width="28" customWidth="1"/>
    <col min="3" max="3" width="52.33203125" customWidth="1"/>
    <col min="4" max="4" width="42.6640625" bestFit="1" customWidth="1"/>
    <col min="5" max="5" width="70.44140625" customWidth="1"/>
    <col min="6" max="6" width="16.109375" customWidth="1"/>
    <col min="7" max="7" width="16.33203125" customWidth="1"/>
    <col min="8" max="8" width="13.21875" bestFit="1" customWidth="1"/>
    <col min="9" max="9" width="137.33203125" customWidth="1"/>
  </cols>
  <sheetData>
    <row r="1" spans="1:9" x14ac:dyDescent="0.3">
      <c r="A1" t="s">
        <v>21</v>
      </c>
      <c r="B1" s="1" t="s">
        <v>0</v>
      </c>
      <c r="C1" s="1" t="s">
        <v>6</v>
      </c>
      <c r="D1" s="1" t="s">
        <v>2</v>
      </c>
      <c r="E1" s="1" t="s">
        <v>28</v>
      </c>
      <c r="F1" s="1" t="s">
        <v>86</v>
      </c>
      <c r="G1" s="1" t="s">
        <v>30</v>
      </c>
      <c r="H1" s="1" t="s">
        <v>31</v>
      </c>
      <c r="I1" s="1" t="s">
        <v>32</v>
      </c>
    </row>
    <row r="2" spans="1:9" ht="244.8" x14ac:dyDescent="0.3">
      <c r="A2" t="s">
        <v>22</v>
      </c>
      <c r="B2" s="1" t="s">
        <v>1</v>
      </c>
      <c r="C2" s="2" t="s">
        <v>5</v>
      </c>
      <c r="D2" s="1" t="s">
        <v>3</v>
      </c>
      <c r="E2" s="5" t="s">
        <v>4</v>
      </c>
      <c r="F2" s="3" t="s">
        <v>87</v>
      </c>
      <c r="G2" s="3" t="s">
        <v>29</v>
      </c>
      <c r="H2" s="3" t="s">
        <v>34</v>
      </c>
      <c r="I2" s="4" t="s">
        <v>39</v>
      </c>
    </row>
    <row r="3" spans="1:9" ht="244.8" x14ac:dyDescent="0.3">
      <c r="A3" t="s">
        <v>23</v>
      </c>
      <c r="B3" s="1" t="s">
        <v>1</v>
      </c>
      <c r="C3" s="2" t="s">
        <v>12</v>
      </c>
      <c r="D3" s="1" t="s">
        <v>7</v>
      </c>
      <c r="E3" s="5" t="s">
        <v>8</v>
      </c>
      <c r="F3" s="3" t="s">
        <v>87</v>
      </c>
      <c r="G3" s="3" t="s">
        <v>29</v>
      </c>
      <c r="H3" s="3" t="s">
        <v>34</v>
      </c>
      <c r="I3" s="4" t="s">
        <v>40</v>
      </c>
    </row>
    <row r="4" spans="1:9" ht="72" x14ac:dyDescent="0.3">
      <c r="A4" t="s">
        <v>24</v>
      </c>
      <c r="B4" s="1" t="s">
        <v>1</v>
      </c>
      <c r="C4" s="2" t="s">
        <v>11</v>
      </c>
      <c r="D4" s="1" t="s">
        <v>9</v>
      </c>
      <c r="E4" s="5" t="s">
        <v>33</v>
      </c>
      <c r="F4" s="3" t="s">
        <v>88</v>
      </c>
      <c r="G4" s="3" t="s">
        <v>29</v>
      </c>
      <c r="H4" s="3" t="s">
        <v>34</v>
      </c>
      <c r="I4" s="3" t="s">
        <v>41</v>
      </c>
    </row>
    <row r="5" spans="1:9" ht="72" x14ac:dyDescent="0.3">
      <c r="A5" t="s">
        <v>25</v>
      </c>
      <c r="B5" s="1" t="s">
        <v>1</v>
      </c>
      <c r="C5" s="2" t="s">
        <v>10</v>
      </c>
      <c r="D5" s="1" t="s">
        <v>13</v>
      </c>
      <c r="E5" s="5" t="s">
        <v>14</v>
      </c>
      <c r="F5" s="3" t="s">
        <v>89</v>
      </c>
      <c r="G5" s="3" t="s">
        <v>29</v>
      </c>
      <c r="H5" s="3" t="s">
        <v>34</v>
      </c>
      <c r="I5" s="3" t="s">
        <v>42</v>
      </c>
    </row>
    <row r="6" spans="1:9" ht="72" x14ac:dyDescent="0.3">
      <c r="A6" t="s">
        <v>26</v>
      </c>
      <c r="B6" s="1" t="s">
        <v>1</v>
      </c>
      <c r="C6" s="2" t="s">
        <v>15</v>
      </c>
      <c r="D6" s="1" t="s">
        <v>16</v>
      </c>
      <c r="E6" s="5" t="s">
        <v>17</v>
      </c>
      <c r="F6" s="3" t="s">
        <v>89</v>
      </c>
      <c r="G6" s="3" t="s">
        <v>29</v>
      </c>
      <c r="H6" s="3" t="s">
        <v>34</v>
      </c>
      <c r="I6" s="3" t="s">
        <v>44</v>
      </c>
    </row>
    <row r="7" spans="1:9" ht="57.6" x14ac:dyDescent="0.3">
      <c r="A7" t="s">
        <v>27</v>
      </c>
      <c r="B7" s="1" t="s">
        <v>1</v>
      </c>
      <c r="C7" s="2" t="s">
        <v>18</v>
      </c>
      <c r="D7" s="2" t="s">
        <v>19</v>
      </c>
      <c r="E7" s="5" t="s">
        <v>20</v>
      </c>
      <c r="F7" s="3" t="s">
        <v>89</v>
      </c>
      <c r="G7" s="3" t="s">
        <v>29</v>
      </c>
      <c r="H7" s="3" t="s">
        <v>34</v>
      </c>
      <c r="I7" s="3" t="s">
        <v>43</v>
      </c>
    </row>
    <row r="8" spans="1:9" ht="57.6" x14ac:dyDescent="0.3">
      <c r="A8" t="s">
        <v>35</v>
      </c>
      <c r="B8" s="1" t="s">
        <v>1</v>
      </c>
      <c r="C8" s="2" t="s">
        <v>37</v>
      </c>
      <c r="D8" s="1" t="s">
        <v>36</v>
      </c>
      <c r="E8" s="5" t="s">
        <v>38</v>
      </c>
      <c r="F8" s="3" t="s">
        <v>89</v>
      </c>
      <c r="G8" s="3" t="s">
        <v>29</v>
      </c>
      <c r="H8" s="3" t="s">
        <v>34</v>
      </c>
      <c r="I8" s="3" t="s">
        <v>45</v>
      </c>
    </row>
  </sheetData>
  <dataConsolidate/>
  <dataValidations count="3">
    <dataValidation type="list" allowBlank="1" showInputMessage="1" showErrorMessage="1" sqref="G2:G8">
      <formula1>"Passed,Failed,Blocked"</formula1>
    </dataValidation>
    <dataValidation type="list" allowBlank="1" showInputMessage="1" showErrorMessage="1" sqref="H2:H8">
      <formula1>"Patricia Borges"</formula1>
    </dataValidation>
    <dataValidation type="list" allowBlank="1" showInputMessage="1" showErrorMessage="1" sqref="F2:F8">
      <formula1>"Positivo, Alternativo, Negativo"</formula1>
    </dataValidation>
  </dataValidations>
  <hyperlinks>
    <hyperlink ref="I3" r:id="rId1"/>
  </hyperlinks>
  <pageMargins left="0.511811024" right="0.511811024" top="0.78740157499999996" bottom="0.78740157499999996" header="0.31496062000000002" footer="0.31496062000000002"/>
  <pageSetup paperSize="9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Status Report</vt:lpstr>
      <vt:lpstr>Burndown</vt:lpstr>
      <vt:lpstr>Test - API ViaCEP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Borges</dc:creator>
  <cp:lastModifiedBy>Patricia Borges</cp:lastModifiedBy>
  <cp:lastPrinted>2026-03-12T18:50:16Z</cp:lastPrinted>
  <dcterms:created xsi:type="dcterms:W3CDTF">2026-03-12T15:11:52Z</dcterms:created>
  <dcterms:modified xsi:type="dcterms:W3CDTF">2026-03-12T19:04:16Z</dcterms:modified>
</cp:coreProperties>
</file>